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6b90b3b4a9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metrics" sheetId="1" r:id="R4bfaa3c8c7e047c8"/>
    <x:sheet xmlns:r="http://schemas.openxmlformats.org/officeDocument/2006/relationships" name="Results" sheetId="2" r:id="Rcb94c5bd70e74b71"/>
    <x:sheet xmlns:r="http://schemas.openxmlformats.org/officeDocument/2006/relationships" name="Protocol" sheetId="3" r:id="R73c1e212a69c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"/>
    <x:numFmt numFmtId="202" formatCode="0.0000"/>
    <x:numFmt numFmtId="203" formatCode="0.0"/>
    <x:numFmt numFmtId="204" formatCode="#,##0"/>
  </x:numFmts>
  <x:fonts count="8">
    <x:font>
      <x:sz val="11"/>
      <x:name val="Carlito"/>
    </x:font>
    <x:font>
      <x:sz val="9"/>
      <x:name val="Arial"/>
    </x:font>
    <x:font>
      <x:b/>
      <x:sz val="9"/>
      <x:color rgb="FFFFFFFF"/>
      <x:name val="Arial"/>
    </x:font>
    <x:font>
      <x:b/>
      <x:sz val="14"/>
      <x:color rgb="FFFFFFFF"/>
      <x:name val="Arial"/>
    </x:font>
    <x:font>
      <x:i/>
      <x:sz val="9"/>
      <x:color rgb="FF404040"/>
      <x:name val="Arial"/>
    </x:font>
    <x:font>
      <x:sz val="10"/>
      <x:name val="Arial"/>
    </x:font>
    <x:font>
      <x:b/>
      <x:sz val="13"/>
      <x:color rgb="FFFFFFFF"/>
      <x:name val="Arial"/>
    </x:font>
    <x:font>
      <x:b/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10">
    <x:border/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top style="thin">
        <x:color rgb="FFD9E2F3"/>
      </x:top>
      <x:bottom style="thin">
        <x:color rgb="FF7F7F7F"/>
      </x:bottom>
    </x:border>
    <x:border>
      <x:top style="thin">
        <x:color rgb="FFD9E2F3"/>
      </x:top>
      <x:bottom style="thin">
        <x:color rgb="FF7F7F7F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2" fillId="2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0" fontId="1" fillId="0" borderId="6" xfId="0" applyNumberFormat="1" applyFont="1" applyFill="1" applyBorder="1"/>
    <x:xf numFmtId="200" fontId="1" fillId="0" borderId="7" xfId="0" applyNumberFormat="1" applyFont="1" applyFill="1" applyBorder="1"/>
    <x:xf numFmtId="201" fontId="1" fillId="0" borderId="3" xfId="0" applyNumberFormat="1" applyFont="1" applyFill="1" applyBorder="1"/>
    <x:xf numFmtId="201" fontId="1" fillId="0" borderId="4" xfId="0" applyNumberFormat="1" applyFont="1" applyFill="1" applyBorder="1"/>
    <x:xf numFmtId="201" fontId="1" fillId="0" borderId="6" xfId="0" applyNumberFormat="1" applyFont="1" applyFill="1" applyBorder="1"/>
    <x:xf numFmtId="201" fontId="1" fillId="0" borderId="7" xfId="0" applyNumberFormat="1" applyFont="1" applyFill="1" applyBorder="1"/>
    <x:xf numFmtId="202" fontId="1" fillId="0" borderId="3" xfId="0" applyNumberFormat="1" applyFont="1" applyFill="1" applyBorder="1"/>
    <x:xf numFmtId="202" fontId="1" fillId="0" borderId="4" xfId="0" applyNumberFormat="1" applyFont="1" applyFill="1" applyBorder="1"/>
    <x:xf numFmtId="202" fontId="1" fillId="0" borderId="6" xfId="0" applyNumberFormat="1" applyFont="1" applyFill="1" applyBorder="1"/>
    <x:xf numFmtId="202" fontId="1" fillId="0" borderId="7" xfId="0" applyNumberFormat="1" applyFont="1" applyFill="1" applyBorder="1"/>
    <x:xf numFmtId="203" fontId="1" fillId="0" borderId="3" xfId="0" applyNumberFormat="1" applyFont="1" applyFill="1" applyBorder="1"/>
    <x:xf numFmtId="203" fontId="1" fillId="0" borderId="4" xfId="0" applyNumberFormat="1" applyFont="1" applyFill="1" applyBorder="1"/>
    <x:xf numFmtId="203" fontId="1" fillId="0" borderId="6" xfId="0" applyNumberFormat="1" applyFont="1" applyFill="1" applyBorder="1"/>
    <x:xf numFmtId="203" fontId="1" fillId="0" borderId="7" xfId="0" applyNumberFormat="1" applyFont="1" applyFill="1" applyBorder="1"/>
    <x:xf numFmtId="204" fontId="1" fillId="0" borderId="3" xfId="0" applyNumberFormat="1" applyFont="1" applyFill="1" applyBorder="1"/>
    <x:xf numFmtId="204" fontId="1" fillId="0" borderId="4" xfId="0" applyNumberFormat="1" applyFont="1" applyFill="1" applyBorder="1"/>
    <x:xf numFmtId="204" fontId="1" fillId="0" borderId="6" xfId="0" applyNumberFormat="1" applyFont="1" applyFill="1" applyBorder="1"/>
    <x:xf numFmtId="204" fontId="1" fillId="0" borderId="7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4" fillId="0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2" fontId="5" fillId="0" borderId="0" xfId="0" applyNumberFormat="1" applyFont="1" applyFill="1" applyBorder="1" applyAlignment="1">
      <x:alignment horizontal="right"/>
    </x:xf>
    <x:xf numFmtId="202" fontId="5" fillId="0" borderId="1" xfId="0" applyNumberFormat="1" applyFont="1" applyFill="1" applyBorder="1" applyAlignment="1">
      <x:alignment horizontal="right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/>
    <x:xf numFmtId="202" fontId="5" fillId="0" borderId="3" xfId="0" applyNumberFormat="1" applyFont="1" applyFill="1" applyBorder="1" applyAlignment="1">
      <x:alignment horizontal="right"/>
    </x:xf>
    <x:xf numFmtId="0" fontId="5" fillId="0" borderId="8" xfId="0" applyNumberFormat="1" applyFont="1" applyFill="1" applyBorder="1"/>
    <x:xf numFmtId="202" fontId="5" fillId="0" borderId="8" xfId="0" applyNumberFormat="1" applyFont="1" applyFill="1" applyBorder="1" applyAlignment="1">
      <x:alignment horizontal="right"/>
    </x:xf>
    <x:xf numFmtId="0" fontId="2" fillId="4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/>
    <x:xf numFmtId="202" fontId="5" fillId="0" borderId="6" xfId="0" applyNumberFormat="1" applyFont="1" applyFill="1" applyBorder="1" applyAlignment="1">
      <x:alignment horizontal="right"/>
    </x:xf>
    <x:xf numFmtId="0" fontId="5" fillId="0" borderId="9" xfId="0" applyNumberFormat="1" applyFont="1" applyFill="1" applyBorder="1"/>
    <x:xf numFmtId="202" fontId="5" fillId="0" borderId="9" xfId="0" applyNumberFormat="1" applyFont="1" applyFill="1" applyBorder="1" applyAlignment="1">
      <x:alignment horizontal="right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2" xfId="0" applyNumberFormat="1" applyFont="1" applyFill="1" applyBorder="1"/>
    <x:xf numFmtId="0" fontId="5" fillId="0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5" fillId="0" borderId="4" xfId="0" applyNumberFormat="1" applyFont="1" applyFill="1" applyBorder="1"/>
    <x:xf numFmtId="0" fontId="7" fillId="5" borderId="5" xfId="0" applyNumberFormat="1" applyFont="1" applyFill="1" applyBorder="1"/>
    <x:xf numFmtId="0" fontId="5" fillId="0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5" fillId="0" borderId="7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96d265bdd4693" /><Relationship Type="http://schemas.openxmlformats.org/officeDocument/2006/relationships/theme" Target="/xl/theme/theme1.xml" Id="R0e3a9e72e0054363" /><Relationship Type="http://schemas.openxmlformats.org/officeDocument/2006/relationships/sharedStrings" Target="/xl/sharedStrings.xml" Id="R322d3463f3344f1f" /><Relationship Type="http://schemas.openxmlformats.org/officeDocument/2006/relationships/worksheet" Target="/xl/worksheets/sheet1.xml" Id="R4bfaa3c8c7e047c8" /><Relationship Type="http://schemas.openxmlformats.org/officeDocument/2006/relationships/worksheet" Target="/xl/worksheets/sheet2.xml" Id="Rcb94c5bd70e74b71" /><Relationship Type="http://schemas.openxmlformats.org/officeDocument/2006/relationships/worksheet" Target="/xl/worksheets/sheet3.xml" Id="R73c1e212a69c4d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54" hidden="0" customWidth="1"/>
    <x:col min="21" max="21" width="54" hidden="0" customWidth="1"/>
  </x:cols>
  <x:sheetData>
    <x:row r="1" ht="21.600000381469727" hidden="0" customHeight="1">
      <x:c r="A1" s="12" t="str">
        <x:v>﻿run_number</x:v>
      </x:c>
      <x:c r="B1" s="12" t="str">
        <x:v>random_seed</x:v>
      </x:c>
      <x:c r="C1" s="12" t="str">
        <x:v>experiment_id</x:v>
      </x:c>
      <x:c r="D1" s="12" t="str">
        <x:v>condition</x:v>
      </x:c>
      <x:c r="E1" s="12" t="str">
        <x:v>fusion_mode</x:v>
      </x:c>
      <x:c r="F1" s="12" t="str">
        <x:v>best_detection_epoch</x:v>
      </x:c>
      <x:c r="G1" s="12" t="str">
        <x:v>best_seed_epoch</x:v>
      </x:c>
      <x:c r="H1" s="12" t="str">
        <x:v>selected_detection_threshold</x:v>
      </x:c>
      <x:c r="I1" s="12" t="str">
        <x:v>selected_seed_threshold</x:v>
      </x:c>
      <x:c r="J1" s="12" t="str">
        <x:v>detection_f1</x:v>
      </x:c>
      <x:c r="K1" s="12" t="str">
        <x:v>detection_mean_iou</x:v>
      </x:c>
      <x:c r="L1" s="12" t="str">
        <x:v>seed_balanced_accuracy</x:v>
      </x:c>
      <x:c r="M1" s="12" t="str">
        <x:v>seed_auroc</x:v>
      </x:c>
      <x:c r="N1" s="12" t="str">
        <x:v>detection_precision</x:v>
      </x:c>
      <x:c r="O1" s="12" t="str">
        <x:v>detection_recall</x:v>
      </x:c>
      <x:c r="P1" s="12" t="str">
        <x:v>seed_f1</x:v>
      </x:c>
      <x:c r="Q1" s="12" t="str">
        <x:v>seed_average_precision</x:v>
      </x:c>
      <x:c r="R1" s="12" t="str">
        <x:v>training_seconds</x:v>
      </x:c>
      <x:c r="S1" s="12" t="str">
        <x:v>peak_gpu_memory_bytes</x:v>
      </x:c>
      <x:c r="T1" s="12" t="str">
        <x:v>best_detection_checkpoint</x:v>
      </x:c>
      <x:c r="U1" s="12" t="str">
        <x:v>best_seed_checkpoint</x:v>
      </x:c>
    </x:row>
    <x:row r="2" ht="15" hidden="0" customHeight="1">
      <x:c r="A2" s="18" t="str">
        <x:v>1</x:v>
      </x:c>
      <x:c r="B2" s="18" t="str">
        <x:v>20260725</x:v>
      </x:c>
      <x:c r="C2" s="13" t="str">
        <x:v>A_image_only</x:v>
      </x:c>
      <x:c r="D2" s="13" t="str">
        <x:v>Image only</x:v>
      </x:c>
      <x:c r="E2" s="13" t="str">
        <x:v>image_only</x:v>
      </x:c>
      <x:c r="F2" s="18" t="str">
        <x:v>15</x:v>
      </x:c>
      <x:c r="G2" s="18" t="str">
        <x:v>4</x:v>
      </x:c>
      <x:c r="H2" s="22" t="str">
        <x:v>0.8</x:v>
      </x:c>
      <x:c r="I2" s="22" t="str">
        <x:v>0.542</x:v>
      </x:c>
      <x:c r="J2" s="26" t="str">
        <x:v>0.8574667962423065</x:v>
      </x:c>
      <x:c r="K2" s="26" t="str">
        <x:v>0.873360645942162</x:v>
      </x:c>
      <x:c r="L2" s="26" t="str">
        <x:v>0.9630411347820518</x:v>
      </x:c>
      <x:c r="M2" s="26" t="str">
        <x:v>0.9947867747513127</x:v>
      </x:c>
      <x:c r="N2" s="26" t="str">
        <x:v>0.8852842809364548</x:v>
      </x:c>
      <x:c r="O2" s="26" t="str">
        <x:v>0.8313442211055276</x:v>
      </x:c>
      <x:c r="P2" s="26" t="str">
        <x:v>0.9723876556578235</x:v>
      </x:c>
      <x:c r="Q2" s="26" t="str">
        <x:v>0.9988752917130566</x:v>
      </x:c>
      <x:c r="R2" s="30" t="str">
        <x:v>4872.485614799953</x:v>
      </x:c>
      <x:c r="S2" s="34" t="str">
        <x:v>3576924160</x:v>
      </x:c>
      <x:c r="T2" s="13" t="str">
        <x:v>D:\CODE\LipidBench\PeakTruthLab\results\paper_final_reviewed_20260725\epoch15_probe\A_image_only_seed_20260725\best_detection.pt</x:v>
      </x:c>
      <x:c r="U2" s="13" t="str">
        <x:v>D:\CODE\LipidBench\PeakTruthLab\results\paper_final_reviewed_20260725\epoch15_probe\A_image_only_seed_20260725\best_seed.pt</x:v>
      </x:c>
    </x:row>
    <x:row r="3" ht="15" hidden="0" customHeight="1">
      <x:c r="A3" s="18" t="str">
        <x:v>2</x:v>
      </x:c>
      <x:c r="B3" s="18" t="str">
        <x:v>20260726</x:v>
      </x:c>
      <x:c r="C3" s="13" t="str">
        <x:v>A_image_only</x:v>
      </x:c>
      <x:c r="D3" s="13" t="str">
        <x:v>Image only</x:v>
      </x:c>
      <x:c r="E3" s="13" t="str">
        <x:v>image_only</x:v>
      </x:c>
      <x:c r="F3" s="18" t="str">
        <x:v>10</x:v>
      </x:c>
      <x:c r="G3" s="18" t="str">
        <x:v>8</x:v>
      </x:c>
      <x:c r="H3" s="22" t="str">
        <x:v>0.85</x:v>
      </x:c>
      <x:c r="I3" s="22" t="str">
        <x:v>0.743</x:v>
      </x:c>
      <x:c r="J3" s="26" t="str">
        <x:v>0.8589913735899137</x:v>
      </x:c>
      <x:c r="K3" s="26" t="str">
        <x:v>0.8627214921446278</x:v>
      </x:c>
      <x:c r="L3" s="26" t="str">
        <x:v>0.9654893160568672</x:v>
      </x:c>
      <x:c r="M3" s="26" t="str">
        <x:v>0.9929816579857405</x:v>
      </x:c>
      <x:c r="N3" s="26" t="str">
        <x:v>0.9103375527426161</x:v>
      </x:c>
      <x:c r="O3" s="26" t="str">
        <x:v>0.8131281407035176</x:v>
      </x:c>
      <x:c r="P3" s="26" t="str">
        <x:v>0.9760043138312213</x:v>
      </x:c>
      <x:c r="Q3" s="26" t="str">
        <x:v>0.9978856107390797</x:v>
      </x:c>
      <x:c r="R3" s="30" t="str">
        <x:v>3784.669837399997</x:v>
      </x:c>
      <x:c r="S3" s="34" t="str">
        <x:v>3576930304</x:v>
      </x:c>
      <x:c r="T3" s="13" t="str">
        <x:v>D:\CODE\LipidBench\PeakTruthLab\results\paper_final_reviewed_20260725\stability_3seeds_20260729\experiments\seed_20260726\A_image_only\best_detection.pt</x:v>
      </x:c>
      <x:c r="U3" s="13" t="str">
        <x:v>D:\CODE\LipidBench\PeakTruthLab\results\paper_final_reviewed_20260725\stability_3seeds_20260729\experiments\seed_20260726\A_image_only\best_seed.pt</x:v>
      </x:c>
    </x:row>
    <x:row r="4" ht="15" hidden="0" customHeight="1">
      <x:c r="A4" s="18" t="str">
        <x:v>3</x:v>
      </x:c>
      <x:c r="B4" s="18" t="str">
        <x:v>20260727</x:v>
      </x:c>
      <x:c r="C4" s="13" t="str">
        <x:v>A_image_only</x:v>
      </x:c>
      <x:c r="D4" s="13" t="str">
        <x:v>Image only</x:v>
      </x:c>
      <x:c r="E4" s="13" t="str">
        <x:v>image_only</x:v>
      </x:c>
      <x:c r="F4" s="18" t="str">
        <x:v>12</x:v>
      </x:c>
      <x:c r="G4" s="18" t="str">
        <x:v>11</x:v>
      </x:c>
      <x:c r="H4" s="22" t="str">
        <x:v>0.75</x:v>
      </x:c>
      <x:c r="I4" s="22" t="str">
        <x:v>0.963</x:v>
      </x:c>
      <x:c r="J4" s="26" t="str">
        <x:v>0.8658892128279884</x:v>
      </x:c>
      <x:c r="K4" s="26" t="str">
        <x:v>0.8727801629010096</x:v>
      </x:c>
      <x:c r="L4" s="26" t="str">
        <x:v>0.9666840552021517</x:v>
      </x:c>
      <x:c r="M4" s="26" t="str">
        <x:v>0.993731455193613</x:v>
      </x:c>
      <x:c r="N4" s="26" t="str">
        <x:v>0.8939799331103679</x:v>
      </x:c>
      <x:c r="O4" s="26" t="str">
        <x:v>0.8395100502512562</x:v>
      </x:c>
      <x:c r="P4" s="26" t="str">
        <x:v>0.975148568341437</x:v>
      </x:c>
      <x:c r="Q4" s="26" t="str">
        <x:v>0.9981003994590898</x:v>
      </x:c>
      <x:c r="R4" s="30" t="str">
        <x:v>3583.9065040000132</x:v>
      </x:c>
      <x:c r="S4" s="34" t="str">
        <x:v>3582898688</x:v>
      </x:c>
      <x:c r="T4" s="13" t="str">
        <x:v>D:\CODE\LipidBench\PeakTruthLab\results\paper_final_reviewed_20260725\stability_3seeds_20260729\experiments\seed_20260727\A_image_only\best_detection.pt</x:v>
      </x:c>
      <x:c r="U4" s="13" t="str">
        <x:v>D:\CODE\LipidBench\PeakTruthLab\results\paper_final_reviewed_20260725\stability_3seeds_20260729\experiments\seed_20260727\A_image_only\best_seed.pt</x:v>
      </x:c>
    </x:row>
    <x:row r="5" ht="15" hidden="0" customHeight="1">
      <x:c r="A5" s="18" t="str">
        <x:v>1</x:v>
      </x:c>
      <x:c r="B5" s="18" t="str">
        <x:v>20260725</x:v>
      </x:c>
      <x:c r="C5" s="13" t="str">
        <x:v>B_attr_only</x:v>
      </x:c>
      <x:c r="D5" s="13" t="str">
        <x:v>Attributes only</x:v>
      </x:c>
      <x:c r="E5" s="13" t="str">
        <x:v>attr_only</x:v>
      </x:c>
      <x:c r="F5" s="18" t="str">
        <x:v>15</x:v>
      </x:c>
      <x:c r="G5" s="18" t="str">
        <x:v>15</x:v>
      </x:c>
      <x:c r="H5" s="22" t="str">
        <x:v>0.9</x:v>
      </x:c>
      <x:c r="I5" s="22" t="str">
        <x:v>0.541</x:v>
      </x:c>
      <x:c r="J5" s="26" t="str">
        <x:v>0.8636950904392765</x:v>
      </x:c>
      <x:c r="K5" s="26" t="str">
        <x:v>0.8790667594237032</x:v>
      </x:c>
      <x:c r="L5" s="26" t="str">
        <x:v>0.9489931104043035</x:v>
      </x:c>
      <x:c r="M5" s="26" t="str">
        <x:v>0.989388101438759</x:v>
      </x:c>
      <x:c r="N5" s="26" t="str">
        <x:v>0.8889627659574468</x:v>
      </x:c>
      <x:c r="O5" s="26" t="str">
        <x:v>0.839824120603015</x:v>
      </x:c>
      <x:c r="P5" s="26" t="str">
        <x:v>0.9660970979115813</x:v>
      </x:c>
      <x:c r="Q5" s="26" t="str">
        <x:v>0.997772379804202</x:v>
      </x:c>
      <x:c r="R5" s="30" t="str">
        <x:v>4670.1832941000175</x:v>
      </x:c>
      <x:c r="S5" s="34" t="str">
        <x:v>3552248320</x:v>
      </x:c>
      <x:c r="T5" s="13" t="str">
        <x:v>D:\CODE\LipidBench\PeakTruthLab\results\paper_final_reviewed_20260725\epoch15_probe\B_attr_only_seed_20260725\best_detection.pt</x:v>
      </x:c>
      <x:c r="U5" s="13" t="str">
        <x:v>D:\CODE\LipidBench\PeakTruthLab\results\paper_final_reviewed_20260725\epoch15_probe\B_attr_only_seed_20260725\best_seed.pt</x:v>
      </x:c>
    </x:row>
    <x:row r="6" ht="15" hidden="0" customHeight="1">
      <x:c r="A6" s="18" t="str">
        <x:v>2</x:v>
      </x:c>
      <x:c r="B6" s="18" t="str">
        <x:v>20260726</x:v>
      </x:c>
      <x:c r="C6" s="13" t="str">
        <x:v>B_attr_only</x:v>
      </x:c>
      <x:c r="D6" s="13" t="str">
        <x:v>Attributes only</x:v>
      </x:c>
      <x:c r="E6" s="13" t="str">
        <x:v>attr_only</x:v>
      </x:c>
      <x:c r="F6" s="18" t="str">
        <x:v>15</x:v>
      </x:c>
      <x:c r="G6" s="18" t="str">
        <x:v>14</x:v>
      </x:c>
      <x:c r="H6" s="22" t="str">
        <x:v>0.8</x:v>
      </x:c>
      <x:c r="I6" s="22" t="str">
        <x:v>0.64</x:v>
      </x:c>
      <x:c r="J6" s="26" t="str">
        <x:v>0.8439864756077926</x:v>
      </x:c>
      <x:c r="K6" s="26" t="str">
        <x:v>0.8781023548105117</x:v>
      </x:c>
      <x:c r="L6" s="26" t="str">
        <x:v>0.9514593028220126</x:v>
      </x:c>
      <x:c r="M6" s="26" t="str">
        <x:v>0.9903733776629816</x:v>
      </x:c>
      <x:c r="N6" s="26" t="str">
        <x:v>0.8658738024446647</x:v>
      </x:c>
      <x:c r="O6" s="26" t="str">
        <x:v>0.823178391959799</x:v>
      </x:c>
      <x:c r="P6" s="26" t="str">
        <x:v>0.956785026149188</x:v>
      </x:c>
      <x:c r="Q6" s="26" t="str">
        <x:v>0.9979725154090268</x:v>
      </x:c>
      <x:c r="R6" s="30" t="str">
        <x:v>3560.9123176999856</x:v>
      </x:c>
      <x:c r="S6" s="34" t="str">
        <x:v>3553958912</x:v>
      </x:c>
      <x:c r="T6" s="13" t="str">
        <x:v>D:\CODE\LipidBench\PeakTruthLab\results\paper_final_reviewed_20260725\stability_3seeds_20260729\experiments\seed_20260726\B_attr_only\best_detection.pt</x:v>
      </x:c>
      <x:c r="U6" s="13" t="str">
        <x:v>D:\CODE\LipidBench\PeakTruthLab\results\paper_final_reviewed_20260725\stability_3seeds_20260729\experiments\seed_20260726\B_attr_only\best_seed.pt</x:v>
      </x:c>
    </x:row>
    <x:row r="7" ht="15" hidden="0" customHeight="1">
      <x:c r="A7" s="18" t="str">
        <x:v>3</x:v>
      </x:c>
      <x:c r="B7" s="18" t="str">
        <x:v>20260727</x:v>
      </x:c>
      <x:c r="C7" s="13" t="str">
        <x:v>B_attr_only</x:v>
      </x:c>
      <x:c r="D7" s="13" t="str">
        <x:v>Attributes only</x:v>
      </x:c>
      <x:c r="E7" s="13" t="str">
        <x:v>attr_only</x:v>
      </x:c>
      <x:c r="F7" s="18" t="str">
        <x:v>9</x:v>
      </x:c>
      <x:c r="G7" s="18" t="str">
        <x:v>15</x:v>
      </x:c>
      <x:c r="H7" s="22" t="str">
        <x:v>0.8</x:v>
      </x:c>
      <x:c r="I7" s="22" t="str">
        <x:v>0.613</x:v>
      </x:c>
      <x:c r="J7" s="26" t="str">
        <x:v>0.8484751716429826</x:v>
      </x:c>
      <x:c r="K7" s="26" t="str">
        <x:v>0.8759187823585608</x:v>
      </x:c>
      <x:c r="L7" s="26" t="str">
        <x:v>0.9554964671476753</x:v>
      </x:c>
      <x:c r="M7" s="26" t="str">
        <x:v>0.9904987885838705</x:v>
      </x:c>
      <x:c r="N7" s="26" t="str">
        <x:v>0.8629425138031829</x:v>
      </x:c>
      <x:c r="O7" s="26" t="str">
        <x:v>0.8344849246231156</x:v>
      </x:c>
      <x:c r="P7" s="26" t="str">
        <x:v>0.9622331691297209</x:v>
      </x:c>
      <x:c r="Q7" s="26" t="str">
        <x:v>0.9980138347440465</x:v>
      </x:c>
      <x:c r="R7" s="30" t="str">
        <x:v>3560.7789600999968</x:v>
      </x:c>
      <x:c r="S7" s="34" t="str">
        <x:v>3554048000</x:v>
      </x:c>
      <x:c r="T7" s="13" t="str">
        <x:v>D:\CODE\LipidBench\PeakTruthLab\results\paper_final_reviewed_20260725\stability_3seeds_20260729\experiments\seed_20260727\B_attr_only\best_detection.pt</x:v>
      </x:c>
      <x:c r="U7" s="13" t="str">
        <x:v>D:\CODE\LipidBench\PeakTruthLab\results\paper_final_reviewed_20260725\stability_3seeds_20260729\experiments\seed_20260727\B_attr_only\best_seed.pt</x:v>
      </x:c>
    </x:row>
    <x:row r="8" ht="15" hidden="0" customHeight="1">
      <x:c r="A8" s="18" t="str">
        <x:v>1</x:v>
      </x:c>
      <x:c r="B8" s="18" t="str">
        <x:v>20260725</x:v>
      </x:c>
      <x:c r="C8" s="13" t="str">
        <x:v>C_naive_concat</x:v>
      </x:c>
      <x:c r="D8" s="13" t="str">
        <x:v>Naive concat</x:v>
      </x:c>
      <x:c r="E8" s="13" t="str">
        <x:v>naive_concat</x:v>
      </x:c>
      <x:c r="F8" s="18" t="str">
        <x:v>15</x:v>
      </x:c>
      <x:c r="G8" s="18" t="str">
        <x:v>3</x:v>
      </x:c>
      <x:c r="H8" s="22" t="str">
        <x:v>0.85</x:v>
      </x:c>
      <x:c r="I8" s="22" t="str">
        <x:v>0.569</x:v>
      </x:c>
      <x:c r="J8" s="26" t="str">
        <x:v>0.8643053533883228</x:v>
      </x:c>
      <x:c r="K8" s="26" t="str">
        <x:v>0.8745954411472389</x:v>
      </x:c>
      <x:c r="L8" s="26" t="str">
        <x:v>0.9707272232421125</x:v>
      </x:c>
      <x:c r="M8" s="26" t="str">
        <x:v>0.9961142626905176</x:v>
      </x:c>
      <x:c r="N8" s="26" t="str">
        <x:v>0.8909636545515172</x:v>
      </x:c>
      <x:c r="O8" s="26" t="str">
        <x:v>0.8391959798994975</x:v>
      </x:c>
      <x:c r="P8" s="26" t="str">
        <x:v>0.9762162162162162</x:v>
      </x:c>
      <x:c r="Q8" s="26" t="str">
        <x:v>0.9991816365252634</x:v>
      </x:c>
      <x:c r="R8" s="30" t="str">
        <x:v>4839.300243099977</x:v>
      </x:c>
      <x:c r="S8" s="34" t="str">
        <x:v>3577162752</x:v>
      </x:c>
      <x:c r="T8" s="13" t="str">
        <x:v>D:\CODE\LipidBench\PeakTruthLab\results\paper_final_reviewed_20260725\epoch15_probe\C_naive_concat_seed_20260725\best_detection.pt</x:v>
      </x:c>
      <x:c r="U8" s="13" t="str">
        <x:v>D:\CODE\LipidBench\PeakTruthLab\results\paper_final_reviewed_20260725\epoch15_probe\C_naive_concat_seed_20260725\best_seed.pt</x:v>
      </x:c>
    </x:row>
    <x:row r="9" ht="15" hidden="0" customHeight="1">
      <x:c r="A9" s="18" t="str">
        <x:v>2</x:v>
      </x:c>
      <x:c r="B9" s="18" t="str">
        <x:v>20260726</x:v>
      </x:c>
      <x:c r="C9" s="13" t="str">
        <x:v>C_naive_concat</x:v>
      </x:c>
      <x:c r="D9" s="13" t="str">
        <x:v>Naive concat</x:v>
      </x:c>
      <x:c r="E9" s="13" t="str">
        <x:v>naive_concat</x:v>
      </x:c>
      <x:c r="F9" s="18" t="str">
        <x:v>14</x:v>
      </x:c>
      <x:c r="G9" s="18" t="str">
        <x:v>12</x:v>
      </x:c>
      <x:c r="H9" s="22" t="str">
        <x:v>0.9</x:v>
      </x:c>
      <x:c r="I9" s="22" t="str">
        <x:v>0.981</x:v>
      </x:c>
      <x:c r="J9" s="26" t="str">
        <x:v>0.8544616397760948</x:v>
      </x:c>
      <x:c r="K9" s="26" t="str">
        <x:v>0.8798112702277814</x:v>
      </x:c>
      <x:c r="L9" s="26" t="str">
        <x:v>0.9596690485847243</x:v>
      </x:c>
      <x:c r="M9" s="26" t="str">
        <x:v>0.9937694787174997</x:v>
      </x:c>
      <x:c r="N9" s="26" t="str">
        <x:v>0.8979238754325259</x:v>
      </x:c>
      <x:c r="O9" s="26" t="str">
        <x:v>0.8150125628140703</x:v>
      </x:c>
      <x:c r="P9" s="26" t="str">
        <x:v>0.9656113537117904</x:v>
      </x:c>
      <x:c r="Q9" s="26" t="str">
        <x:v>0.9983651458898444</x:v>
      </x:c>
      <x:c r="R9" s="30" t="str">
        <x:v>3726.7169993999996</x:v>
      </x:c>
      <x:c r="S9" s="34" t="str">
        <x:v>3577501184</x:v>
      </x:c>
      <x:c r="T9" s="13" t="str">
        <x:v>D:\CODE\LipidBench\PeakTruthLab\results\paper_final_reviewed_20260725\stability_3seeds_20260729\experiments\seed_20260726\C_naive_concat\best_detection.pt</x:v>
      </x:c>
      <x:c r="U9" s="13" t="str">
        <x:v>D:\CODE\LipidBench\PeakTruthLab\results\paper_final_reviewed_20260725\stability_3seeds_20260729\experiments\seed_20260726\C_naive_concat\best_seed.pt</x:v>
      </x:c>
    </x:row>
    <x:row r="10" ht="15" hidden="0" customHeight="1">
      <x:c r="A10" s="18" t="str">
        <x:v>3</x:v>
      </x:c>
      <x:c r="B10" s="18" t="str">
        <x:v>20260727</x:v>
      </x:c>
      <x:c r="C10" s="13" t="str">
        <x:v>C_naive_concat</x:v>
      </x:c>
      <x:c r="D10" s="13" t="str">
        <x:v>Naive concat</x:v>
      </x:c>
      <x:c r="E10" s="13" t="str">
        <x:v>naive_concat</x:v>
      </x:c>
      <x:c r="F10" s="18" t="str">
        <x:v>12</x:v>
      </x:c>
      <x:c r="G10" s="18" t="str">
        <x:v>6</x:v>
      </x:c>
      <x:c r="H10" s="22" t="str">
        <x:v>0.85</x:v>
      </x:c>
      <x:c r="I10" s="22" t="str">
        <x:v>0.813</x:v>
      </x:c>
      <x:c r="J10" s="26" t="str">
        <x:v>0.8652413346290897</x:v>
      </x:c>
      <x:c r="K10" s="26" t="str">
        <x:v>0.8750470805507348</x:v>
      </x:c>
      <x:c r="L10" s="26" t="str">
        <x:v>0.9684024516500875</x:v>
      </x:c>
      <x:c r="M10" s="26" t="str">
        <x:v>0.9963050473893178</x:v>
      </x:c>
      <x:c r="N10" s="26" t="str">
        <x:v>0.8933110367892977</x:v>
      </x:c>
      <x:c r="O10" s="26" t="str">
        <x:v>0.8388819095477387</x:v>
      </x:c>
      <x:c r="P10" s="26" t="str">
        <x:v>0.9790322580645161</x:v>
      </x:c>
      <x:c r="Q10" s="26" t="str">
        <x:v>0.9992222076137925</x:v>
      </x:c>
      <x:c r="R10" s="30" t="str">
        <x:v>3607.704080399999</x:v>
      </x:c>
      <x:c r="S10" s="34" t="str">
        <x:v>3581807104</x:v>
      </x:c>
      <x:c r="T10" s="13" t="str">
        <x:v>D:\CODE\LipidBench\PeakTruthLab\results\paper_final_reviewed_20260725\stability_3seeds_20260729\experiments\seed_20260727\C_naive_concat\best_detection.pt</x:v>
      </x:c>
      <x:c r="U10" s="13" t="str">
        <x:v>D:\CODE\LipidBench\PeakTruthLab\results\paper_final_reviewed_20260725\stability_3seeds_20260729\experiments\seed_20260727\C_naive_concat\best_seed.pt</x:v>
      </x:c>
    </x:row>
    <x:row r="11" ht="15" hidden="0" customHeight="1">
      <x:c r="A11" s="18" t="str">
        <x:v>1</x:v>
      </x:c>
      <x:c r="B11" s="18" t="str">
        <x:v>20260725</x:v>
      </x:c>
      <x:c r="C11" s="13" t="str">
        <x:v>D_gated_fusion</x:v>
      </x:c>
      <x:c r="D11" s="13" t="str">
        <x:v>Gated fusion</x:v>
      </x:c>
      <x:c r="E11" s="13" t="str">
        <x:v>gated_fusion</x:v>
      </x:c>
      <x:c r="F11" s="18" t="str">
        <x:v>13</x:v>
      </x:c>
      <x:c r="G11" s="18" t="str">
        <x:v>5</x:v>
      </x:c>
      <x:c r="H11" s="22" t="str">
        <x:v>0.85</x:v>
      </x:c>
      <x:c r="I11" s="22" t="str">
        <x:v>0.356</x:v>
      </x:c>
      <x:c r="J11" s="26" t="str">
        <x:v>0.8539651837524178</x:v>
      </x:c>
      <x:c r="K11" s="26" t="str">
        <x:v>0.8799828548798609</x:v>
      </x:c>
      <x:c r="L11" s="26" t="str">
        <x:v>0.9602574125859198</x:v>
      </x:c>
      <x:c r="M11" s="26" t="str">
        <x:v>0.9942017461469493</x:v>
      </x:c>
      <x:c r="N11" s="26" t="str">
        <x:v>0.8771523178807947</x:v>
      </x:c>
      <x:c r="O11" s="26" t="str">
        <x:v>0.8319723618090452</x:v>
      </x:c>
      <x:c r="P11" s="26" t="str">
        <x:v>0.9715832205683356</x:v>
      </x:c>
      <x:c r="Q11" s="26" t="str">
        <x:v>0.9987357010610091</x:v>
      </x:c>
      <x:c r="R11" s="30" t="str">
        <x:v>4332.7732490000635</x:v>
      </x:c>
      <x:c r="S11" s="34" t="str">
        <x:v>3578938368</x:v>
      </x:c>
      <x:c r="T11" s="13" t="str">
        <x:v>D:\CODE\LipidBench\PeakTruthLab\results\paper_final_reviewed_20260725\epoch15_probe\D_gated_fusion_seed_20260725\best_detection.pt</x:v>
      </x:c>
      <x:c r="U11" s="13" t="str">
        <x:v>D:\CODE\LipidBench\PeakTruthLab\results\paper_final_reviewed_20260725\epoch15_probe\D_gated_fusion_seed_20260725\best_seed.pt</x:v>
      </x:c>
    </x:row>
    <x:row r="12" ht="15" hidden="0" customHeight="1">
      <x:c r="A12" s="18" t="str">
        <x:v>2</x:v>
      </x:c>
      <x:c r="B12" s="18" t="str">
        <x:v>20260726</x:v>
      </x:c>
      <x:c r="C12" s="13" t="str">
        <x:v>D_gated_fusion</x:v>
      </x:c>
      <x:c r="D12" s="13" t="str">
        <x:v>Gated fusion</x:v>
      </x:c>
      <x:c r="E12" s="13" t="str">
        <x:v>gated_fusion</x:v>
      </x:c>
      <x:c r="F12" s="18" t="str">
        <x:v>7</x:v>
      </x:c>
      <x:c r="G12" s="18" t="str">
        <x:v>5</x:v>
      </x:c>
      <x:c r="H12" s="22" t="str">
        <x:v>0.8</x:v>
      </x:c>
      <x:c r="I12" s="22" t="str">
        <x:v>0.496</x:v>
      </x:c>
      <x:c r="J12" s="26" t="str">
        <x:v>0.8559764859568909</x:v>
      </x:c>
      <x:c r="K12" s="26" t="str">
        <x:v>0.8673596133125142</x:v>
      </x:c>
      <x:c r="L12" s="26" t="str">
        <x:v>0.9698620213038467</x:v>
      </x:c>
      <x:c r="M12" s="26" t="str">
        <x:v>0.9937127769713526</x:v>
      </x:c>
      <x:c r="N12" s="26" t="str">
        <x:v>0.8914965986394557</x:v>
      </x:c>
      <x:c r="O12" s="26" t="str">
        <x:v>0.823178391959799</x:v>
      </x:c>
      <x:c r="P12" s="26" t="str">
        <x:v>0.9784598815293484</x:v>
      </x:c>
      <x:c r="Q12" s="26" t="str">
        <x:v>0.998322597947109</x:v>
      </x:c>
      <x:c r="R12" s="30" t="str">
        <x:v>3614.671911199999</x:v>
      </x:c>
      <x:c r="S12" s="34" t="str">
        <x:v>3579037184</x:v>
      </x:c>
      <x:c r="T12" s="13" t="str">
        <x:v>D:\CODE\LipidBench\PeakTruthLab\results\paper_final_reviewed_20260725\stability_3seeds_20260729\experiments\seed_20260726\D_gated_fusion\best_detection.pt</x:v>
      </x:c>
      <x:c r="U12" s="13" t="str">
        <x:v>D:\CODE\LipidBench\PeakTruthLab\results\paper_final_reviewed_20260725\stability_3seeds_20260729\experiments\seed_20260726\D_gated_fusion\best_seed.pt</x:v>
      </x:c>
    </x:row>
    <x:row r="13" ht="15" hidden="0" customHeight="1">
      <x:c r="A13" s="19" t="str">
        <x:v>3</x:v>
      </x:c>
      <x:c r="B13" s="19" t="str">
        <x:v>20260727</x:v>
      </x:c>
      <x:c r="C13" s="14" t="str">
        <x:v>D_gated_fusion</x:v>
      </x:c>
      <x:c r="D13" s="14" t="str">
        <x:v>Gated fusion</x:v>
      </x:c>
      <x:c r="E13" s="14" t="str">
        <x:v>gated_fusion</x:v>
      </x:c>
      <x:c r="F13" s="19" t="str">
        <x:v>15</x:v>
      </x:c>
      <x:c r="G13" s="19" t="str">
        <x:v>6</x:v>
      </x:c>
      <x:c r="H13" s="23" t="str">
        <x:v>0.75</x:v>
      </x:c>
      <x:c r="I13" s="23" t="str">
        <x:v>0.84</x:v>
      </x:c>
      <x:c r="J13" s="27" t="str">
        <x:v>0.8406458978959387</x:v>
      </x:c>
      <x:c r="K13" s="27" t="str">
        <x:v>0.8707012753871508</x:v>
      </x:c>
      <x:c r="L13" s="27" t="str">
        <x:v>0.9653659063740767</x:v>
      </x:c>
      <x:c r="M13" s="27" t="str">
        <x:v>0.9961722985953974</x:v>
      </x:c>
      <x:c r="N13" s="27" t="str">
        <x:v>0.8744485917882593</x:v>
      </x:c>
      <x:c r="O13" s="27" t="str">
        <x:v>0.809359296482412</x:v>
      </x:c>
      <x:c r="P13" s="27" t="str">
        <x:v>0.9695155144256941</x:v>
      </x:c>
      <x:c r="Q13" s="27" t="str">
        <x:v>0.9991983772105635</x:v>
      </x:c>
      <x:c r="R13" s="31" t="str">
        <x:v>3565.7567253000016</x:v>
      </x:c>
      <x:c r="S13" s="35" t="str">
        <x:v>3585088512</x:v>
      </x:c>
      <x:c r="T13" s="14" t="str">
        <x:v>D:\CODE\LipidBench\PeakTruthLab\results\paper_final_reviewed_20260725\stability_3seeds_20260729\experiments\seed_20260727\D_gated_fusion\best_detection.pt</x:v>
      </x:c>
      <x:c r="U13" s="14" t="str">
        <x:v>D:\CODE\LipidBench\PeakTruthLab\results\paper_final_reviewed_20260725\stability_3seeds_20260729\experiments\seed_20260727\D_gated_fusion\best_seed.pt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hidden="0" customHeight="1">
      <x:c r="A1" s="44" t="str">
        <x:v>Four-model stability comparison (3 fixed random seeds)</x:v>
      </x:c>
      <x:c r="B1" s="44"/>
      <x:c r="C1" s="44"/>
      <x:c r="D1" s="44"/>
      <x:c r="E1" s="44"/>
      <x:c r="F1" s="44"/>
      <x:c r="G1" s="44"/>
      <x:c r="H1" s="44"/>
      <x:c r="I1" s="44"/>
    </x:row>
    <x:row r="2" ht="24" hidden="0" customHeight="1">
      <x:c r="A2" s="48" t="str">
        <x:v>Mean and sample standard deviation; checkpoints and thresholds selected on Validation, Test used only for final reporting.</x:v>
      </x:c>
      <x:c r="B2" s="48"/>
      <x:c r="C2" s="48"/>
      <x:c r="D2" s="48"/>
      <x:c r="E2" s="48"/>
      <x:c r="F2" s="48"/>
      <x:c r="G2" s="48"/>
      <x:c r="H2" s="48"/>
      <x:c r="I2" s="48"/>
    </x:row>
    <x:row r="3"/>
    <x:row r="4" ht="34" hidden="0" customHeight="1">
      <x:c r="A4" s="66" t="str">
        <x:v>Condition</x:v>
      </x:c>
      <x:c r="B4" s="66" t="str">
        <x:v>Detection F1 mean</x:v>
      </x:c>
      <x:c r="C4" s="66" t="str">
        <x:v>Detection F1 SD</x:v>
      </x:c>
      <x:c r="D4" s="66" t="str">
        <x:v>Mean IoU mean</x:v>
      </x:c>
      <x:c r="E4" s="66" t="str">
        <x:v>Mean IoU SD</x:v>
      </x:c>
      <x:c r="F4" s="66" t="str">
        <x:v>Seed BA mean</x:v>
      </x:c>
      <x:c r="G4" s="66" t="str">
        <x:v>Seed BA SD</x:v>
      </x:c>
      <x:c r="H4" s="66" t="str">
        <x:v>Seed AUROC mean</x:v>
      </x:c>
      <x:c r="I4" s="66" t="str">
        <x:v>Seed AUROC SD</x:v>
      </x:c>
    </x:row>
    <x:row r="5" ht="15" hidden="0" customHeight="1">
      <x:c r="A5" s="67" t="str">
        <x:v>Image only</x:v>
      </x:c>
      <x:c r="B5" s="68" t="n">
        <x:f>AVERAGE('Raw metrics'!$J$2:$J$4)</x:f>
        <x:v>0.8607824608867362</x:v>
      </x:c>
      <x:c r="C5" s="68" t="n">
        <x:f>STDEV.S('Raw metrics'!$J$2:$J$4)</x:f>
        <x:v>0.004487791279050464</x:v>
      </x:c>
      <x:c r="D5" s="68" t="n">
        <x:f>AVERAGE('Raw metrics'!$K$2:$K$4)</x:f>
        <x:v>0.8696207669959332</x:v>
      </x:c>
      <x:c r="E5" s="68" t="n">
        <x:f>STDEV.S('Raw metrics'!$K$2:$K$4)</x:f>
        <x:v>0.005981992581544804</x:v>
      </x:c>
      <x:c r="F5" s="68" t="n">
        <x:f>AVERAGE('Raw metrics'!$L$2:$L$4)</x:f>
        <x:v>0.9650715020136902</x:v>
      </x:c>
      <x:c r="G5" s="68" t="n">
        <x:f>STDEV.S('Raw metrics'!$L$2:$L$4)</x:f>
        <x:v>0.0018570524300089628</x:v>
      </x:c>
      <x:c r="H5" s="68" t="n">
        <x:f>AVERAGE('Raw metrics'!$M$2:$M$4)</x:f>
        <x:v>0.9938332959768887</x:v>
      </x:c>
      <x:c r="I5" s="68" t="n">
        <x:f>STDEV.S('Raw metrics'!$M$2:$M$4)</x:f>
        <x:v>0.0009068573720222969</x:v>
      </x:c>
    </x:row>
    <x:row r="6" ht="15" hidden="0" customHeight="1">
      <x:c r="A6" s="67" t="str">
        <x:v>Attributes only</x:v>
      </x:c>
      <x:c r="B6" s="68" t="n">
        <x:f>AVERAGE('Raw metrics'!$J$5:$J$7)</x:f>
        <x:v>0.8520522458966839</x:v>
      </x:c>
      <x:c r="C6" s="68" t="n">
        <x:f>STDEV.S('Raw metrics'!$J$5:$J$7)</x:f>
        <x:v>0.010329761362505735</x:v>
      </x:c>
      <x:c r="D6" s="68" t="n">
        <x:f>AVERAGE('Raw metrics'!$K$5:$K$7)</x:f>
        <x:v>0.8776959655309252</x:v>
      </x:c>
      <x:c r="E6" s="68" t="n">
        <x:f>STDEV.S('Raw metrics'!$K$5:$K$7)</x:f>
        <x:v>0.0016128558787404674</x:v>
      </x:c>
      <x:c r="F6" s="68" t="n">
        <x:f>AVERAGE('Raw metrics'!$L$5:$L$7)</x:f>
        <x:v>0.9519829601246638</x:v>
      </x:c>
      <x:c r="G6" s="68" t="n">
        <x:f>STDEV.S('Raw metrics'!$L$5:$L$7)</x:f>
        <x:v>0.0032831501581339607</x:v>
      </x:c>
      <x:c r="H6" s="68" t="n">
        <x:f>AVERAGE('Raw metrics'!$M$5:$M$7)</x:f>
        <x:v>0.9900867558952037</x:v>
      </x:c>
      <x:c r="I6" s="68" t="n">
        <x:f>STDEV.S('Raw metrics'!$M$5:$M$7)</x:f>
        <x:v>0.0006082931134758137</x:v>
      </x:c>
    </x:row>
    <x:row r="7" ht="15" hidden="0" customHeight="1">
      <x:c r="A7" s="67" t="str">
        <x:v>Naive concat</x:v>
      </x:c>
      <x:c r="B7" s="68" t="n">
        <x:f>AVERAGE('Raw metrics'!$J$8:$J$10)</x:f>
        <x:v>0.8613361092645024</x:v>
      </x:c>
      <x:c r="C7" s="68" t="n">
        <x:f>STDEV.S('Raw metrics'!$J$8:$J$10)</x:f>
        <x:v>0.005971830814838327</x:v>
      </x:c>
      <x:c r="D7" s="68" t="n">
        <x:f>AVERAGE('Raw metrics'!$K$8:$K$10)</x:f>
        <x:v>0.876484597308585</x:v>
      </x:c>
      <x:c r="E7" s="68" t="n">
        <x:f>STDEV.S('Raw metrics'!$K$8:$K$10)</x:f>
        <x:v>0.0028898199028976625</x:v>
      </x:c>
      <x:c r="F7" s="68" t="n">
        <x:f>AVERAGE('Raw metrics'!$L$8:$L$10)</x:f>
        <x:v>0.9662662411589747</x:v>
      </x:c>
      <x:c r="G7" s="68" t="n">
        <x:f>STDEV.S('Raw metrics'!$L$8:$L$10)</x:f>
        <x:v>0.005830381903021478</x:v>
      </x:c>
      <x:c r="H7" s="68" t="n">
        <x:f>AVERAGE('Raw metrics'!$M$8:$M$10)</x:f>
        <x:v>0.9953962629324451</x:v>
      </x:c>
      <x:c r="I7" s="68" t="n">
        <x:f>STDEV.S('Raw metrics'!$M$8:$M$10)</x:f>
        <x:v>0.0014120622726426174</x:v>
      </x:c>
    </x:row>
    <x:row r="8" ht="15" hidden="0" customHeight="1">
      <x:c r="A8" s="69" t="str">
        <x:v>Gated fusion</x:v>
      </x:c>
      <x:c r="B8" s="70" t="n">
        <x:f>AVERAGE('Raw metrics'!$J$11:$J$13)</x:f>
        <x:v>0.8501958558684158</x:v>
      </x:c>
      <x:c r="C8" s="70" t="n">
        <x:f>STDEV.S('Raw metrics'!$J$11:$J$13)</x:f>
        <x:v>0.008331422873464592</x:v>
      </x:c>
      <x:c r="D8" s="70" t="n">
        <x:f>AVERAGE('Raw metrics'!$K$11:$K$13)</x:f>
        <x:v>0.872681247859842</x:v>
      </x:c>
      <x:c r="E8" s="70" t="n">
        <x:f>STDEV.S('Raw metrics'!$K$11:$K$13)</x:f>
        <x:v>0.00654039564257077</x:v>
      </x:c>
      <x:c r="F8" s="70" t="n">
        <x:f>AVERAGE('Raw metrics'!$L$11:$L$13)</x:f>
        <x:v>0.9651617800879477</x:v>
      </x:c>
      <x:c r="G8" s="70" t="n">
        <x:f>STDEV.S('Raw metrics'!$L$11:$L$13)</x:f>
        <x:v>0.00480555697205183</x:v>
      </x:c>
      <x:c r="H8" s="70" t="n">
        <x:f>AVERAGE('Raw metrics'!$M$11:$M$13)</x:f>
        <x:v>0.9946956072378997</x:v>
      </x:c>
      <x:c r="I8" s="70" t="n">
        <x:f>STDEV.S('Raw metrics'!$M$11:$M$13)</x:f>
        <x:v>0.0013020121879813436</x:v>
      </x:c>
    </x:row>
  </x:sheetData>
  <x:mergeCells>
    <x:mergeCell ref="A1:I1"/>
    <x:mergeCell ref="A2:I2"/>
  </x:mergeCells>
  <x:conditionalFormatting sqref="A5:I8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</x:cols>
  <x:sheetData>
    <x:row r="1" ht="15.600000381469727" hidden="0" customHeight="1">
      <x:c r="A1" s="92" t="str">
        <x:v>Locked training and evaluation protocol</x:v>
      </x:c>
      <x:c r="B1" s="92"/>
    </x:row>
    <x:row r="2" ht="15" hidden="0" customHeight="1">
      <x:c r="A2" s="93"/>
      <x:c r="B2" s="93"/>
    </x:row>
    <x:row r="3" ht="15" hidden="0" customHeight="1">
      <x:c r="A3" s="94" t="str">
        <x:v>Random seeds</x:v>
      </x:c>
      <x:c r="B3" s="95" t="str">
        <x:v>20260725, 20260726, 20260727</x:v>
      </x:c>
    </x:row>
    <x:row r="4" ht="15" hidden="0" customHeight="1">
      <x:c r="A4" s="96" t="str">
        <x:v>Epochs</x:v>
      </x:c>
      <x:c r="B4" s="97" t="n">
        <x:v>15</x:v>
      </x:c>
    </x:row>
    <x:row r="5" ht="15" hidden="0" customHeight="1">
      <x:c r="A5" s="96" t="str">
        <x:v>Batch size</x:v>
      </x:c>
      <x:c r="B5" s="97" t="n">
        <x:v>8</x:v>
      </x:c>
    </x:row>
    <x:row r="6" ht="15" hidden="0" customHeight="1">
      <x:c r="A6" s="96" t="str">
        <x:v>Input</x:v>
      </x:c>
      <x:c r="B6" s="97" t="str">
        <x:v>480 × 480</x:v>
      </x:c>
    </x:row>
    <x:row r="7" ht="15" hidden="0" customHeight="1">
      <x:c r="A7" s="96" t="str">
        <x:v>Precision</x:v>
      </x:c>
      <x:c r="B7" s="97" t="str">
        <x:v>FP16</x:v>
      </x:c>
    </x:row>
    <x:row r="8" ht="15" hidden="0" customHeight="1">
      <x:c r="A8" s="96" t="str">
        <x:v>Optimizer</x:v>
      </x:c>
      <x:c r="B8" s="97" t="str">
        <x:v>AdamW</x:v>
      </x:c>
    </x:row>
    <x:row r="9" ht="15" hidden="0" customHeight="1">
      <x:c r="A9" s="96" t="str">
        <x:v>Learning rate</x:v>
      </x:c>
      <x:c r="B9" s="97" t="n">
        <x:v>0.0001</x:v>
      </x:c>
    </x:row>
    <x:row r="10" ht="15" hidden="0" customHeight="1">
      <x:c r="A10" s="96" t="str">
        <x:v>Weight decay</x:v>
      </x:c>
      <x:c r="B10" s="97" t="n">
        <x:v>0.0001</x:v>
      </x:c>
    </x:row>
    <x:row r="11" ht="15" hidden="0" customHeight="1">
      <x:c r="A11" s="96" t="str">
        <x:v>Data augmentation</x:v>
      </x:c>
      <x:c r="B11" s="97" t="str">
        <x:v>None</x:v>
      </x:c>
    </x:row>
    <x:row r="12" ht="15" hidden="0" customHeight="1">
      <x:c r="A12" s="96" t="str">
        <x:v>Validation</x:v>
      </x:c>
      <x:c r="B12" s="97" t="str">
        <x:v>Complete validation every epoch</x:v>
      </x:c>
    </x:row>
    <x:row r="13" ht="15" hidden="0" customHeight="1">
      <x:c r="A13" s="96" t="str">
        <x:v>Selection</x:v>
      </x:c>
      <x:c r="B13" s="97" t="str">
        <x:v>Best checkpoint and Detection/Seed thresholds selected on Val</x:v>
      </x:c>
    </x:row>
    <x:row r="14" ht="15" hidden="0" customHeight="1">
      <x:c r="A14" s="98" t="str">
        <x:v>Test policy</x:v>
      </x:c>
      <x:c r="B14" s="99" t="str">
        <x:v>Test evaluated only after all thresholds were locked; no Test-driven tuning</x:v>
      </x:c>
    </x:row>
  </x:sheetData>
  <x:mergeCells>
    <x:mergeCell ref="A1:B1"/>
  </x:mergeCells>
  <x:pageMargins left="0.7" right="0.7" top="0.75" bottom="0.75" header="0.3" footer="0.3"/>
</x:worksheet>
</file>